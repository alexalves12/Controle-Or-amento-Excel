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lves.Alex\Desktop\"/>
    </mc:Choice>
  </mc:AlternateContent>
  <xr:revisionPtr revIDLastSave="0" documentId="8_{BA47503F-766F-430B-A189-D742478A000B}" xr6:coauthVersionLast="47" xr6:coauthVersionMax="47" xr10:uidLastSave="{00000000-0000-0000-0000-000000000000}"/>
  <bookViews>
    <workbookView xWindow="-120" yWindow="-120" windowWidth="24240" windowHeight="13140" activeTab="3" xr2:uid="{D82D7258-9D82-44D3-A45A-C57B9B7AFB65}"/>
  </bookViews>
  <sheets>
    <sheet name="ORÇAMENTO_FEVEREIRO" sheetId="3" r:id="rId1"/>
    <sheet name="ORÇAMENTO_MARÇO)" sheetId="2" r:id="rId2"/>
    <sheet name="ORÇAMENTO_ABRIL" sheetId="1" r:id="rId3"/>
    <sheet name="TOTAL GERAL_TRIMESTR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" l="1"/>
  <c r="D4" i="4"/>
  <c r="D7" i="4" s="1"/>
  <c r="E4" i="4"/>
  <c r="F5" i="4"/>
  <c r="G5" i="4"/>
  <c r="F6" i="4"/>
  <c r="G6" i="4"/>
  <c r="E7" i="4"/>
  <c r="F12" i="3"/>
  <c r="N10" i="3"/>
  <c r="F12" i="2"/>
  <c r="N10" i="2"/>
  <c r="C4" i="1"/>
  <c r="C3" i="1"/>
  <c r="N10" i="1"/>
  <c r="F12" i="1"/>
  <c r="C7" i="4" l="1"/>
  <c r="F4" i="4"/>
  <c r="F7" i="4" s="1"/>
  <c r="C3" i="3"/>
  <c r="C4" i="3" s="1"/>
  <c r="C3" i="2"/>
  <c r="C4" i="2" s="1"/>
  <c r="G4" i="4" l="1"/>
  <c r="G7" i="4" l="1"/>
  <c r="G8" i="4"/>
  <c r="G9" i="4"/>
</calcChain>
</file>

<file path=xl/sharedStrings.xml><?xml version="1.0" encoding="utf-8"?>
<sst xmlns="http://schemas.openxmlformats.org/spreadsheetml/2006/main" count="137" uniqueCount="34">
  <si>
    <t>ORÇAMENTO/ABRIL</t>
  </si>
  <si>
    <t>INCIO</t>
  </si>
  <si>
    <t>CATEGORIAS</t>
  </si>
  <si>
    <t>DESCRIÇÃO</t>
  </si>
  <si>
    <t>CARTÃO</t>
  </si>
  <si>
    <t>DATA</t>
  </si>
  <si>
    <t>CATEGORIA</t>
  </si>
  <si>
    <t>TIPO</t>
  </si>
  <si>
    <t>SAIDA</t>
  </si>
  <si>
    <t>VALOR</t>
  </si>
  <si>
    <t>SEGURO DA MOTO</t>
  </si>
  <si>
    <t>TRANSPORTE</t>
  </si>
  <si>
    <t>CARTÃO INTER</t>
  </si>
  <si>
    <t>CARTÕES</t>
  </si>
  <si>
    <t>GASOLINA</t>
  </si>
  <si>
    <t>SHOPPING</t>
  </si>
  <si>
    <t>LAZER</t>
  </si>
  <si>
    <t>CAPACETE</t>
  </si>
  <si>
    <t>SUBTOTAL</t>
  </si>
  <si>
    <t>QUINZENA</t>
  </si>
  <si>
    <t>CART/PAN</t>
  </si>
  <si>
    <t>PARCELA MOTO0</t>
  </si>
  <si>
    <t>FATURA VIVO</t>
  </si>
  <si>
    <t>RENDA</t>
  </si>
  <si>
    <t>GASTOS MENSAIS</t>
  </si>
  <si>
    <t>SALDO</t>
  </si>
  <si>
    <t>TOTAL TRIMESTRAL</t>
  </si>
  <si>
    <t>FEVEREIRO</t>
  </si>
  <si>
    <t>MARÇO</t>
  </si>
  <si>
    <t>ABRIL</t>
  </si>
  <si>
    <t>TOTAL GERAL</t>
  </si>
  <si>
    <t>MEDIA GERAL</t>
  </si>
  <si>
    <t>ORÇAMENTO/FEVEREIRO</t>
  </si>
  <si>
    <t>ORÇAMENTO/MARÇO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</si>
</sst>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22"/>
      <color theme="1"/>
      <name val="Arial"/>
      <family val="2"/>
    </font>
    <font>
      <sz val="2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/>
    <xf numFmtId="16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/>
    <xf numFmtId="0" fontId="5" fillId="2" borderId="0" xfId="0" applyFont="1" applyFill="1" applyAlignment="1">
      <alignment horizontal="center"/>
    </xf>
    <xf numFmtId="0" fontId="3" fillId="0" borderId="1" xfId="0" applyFont="1" applyBorder="1"/>
    <xf numFmtId="16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INICIO</a:t>
            </a:r>
            <a:r>
              <a:rPr lang="pt-BR" baseline="0"/>
              <a:t> DO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ORÇAMENTO_FEVEREIRO!$B$7:$E$11</c:f>
              <c:multiLvlStrCache>
                <c:ptCount val="5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  <c:pt idx="3">
                    <c:v>SAIDA</c:v>
                  </c:pt>
                  <c:pt idx="4">
                    <c:v>SAIDA</c:v>
                  </c:pt>
                </c:lvl>
                <c:lvl>
                  <c:pt idx="0">
                    <c:v>TRANSPORTE</c:v>
                  </c:pt>
                  <c:pt idx="1">
                    <c:v>CARTÕES</c:v>
                  </c:pt>
                  <c:pt idx="2">
                    <c:v>TRANSPORTE</c:v>
                  </c:pt>
                  <c:pt idx="3">
                    <c:v>LAZER</c:v>
                  </c:pt>
                  <c:pt idx="4">
                    <c:v>CARTÃO</c:v>
                  </c:pt>
                </c:lvl>
                <c:lvl>
                  <c:pt idx="0">
                    <c:v>SEGURO DA MOTO</c:v>
                  </c:pt>
                  <c:pt idx="1">
                    <c:v>CARTÃO INTER</c:v>
                  </c:pt>
                  <c:pt idx="2">
                    <c:v>GASOLINA</c:v>
                  </c:pt>
                  <c:pt idx="3">
                    <c:v>SHOPPING</c:v>
                  </c:pt>
                  <c:pt idx="4">
                    <c:v>CAPACETE</c:v>
                  </c:pt>
                </c:lvl>
                <c:lvl>
                  <c:pt idx="0">
                    <c:v>01/fev</c:v>
                  </c:pt>
                  <c:pt idx="1">
                    <c:v>02/fev</c:v>
                  </c:pt>
                  <c:pt idx="2">
                    <c:v>04/fev</c:v>
                  </c:pt>
                  <c:pt idx="3">
                    <c:v>05/fev</c:v>
                  </c:pt>
                  <c:pt idx="4">
                    <c:v>02/fev</c:v>
                  </c:pt>
                </c:lvl>
              </c:multiLvlStrCache>
            </c:multiLvlStrRef>
          </c:cat>
          <c:val>
            <c:numRef>
              <c:f>ORÇAMENTO_FEVEREIRO!$F$7:$F$11</c:f>
              <c:numCache>
                <c:formatCode>"R$"\ #,##0.00</c:formatCode>
                <c:ptCount val="5"/>
                <c:pt idx="0">
                  <c:v>150</c:v>
                </c:pt>
                <c:pt idx="1">
                  <c:v>250</c:v>
                </c:pt>
                <c:pt idx="2">
                  <c:v>170</c:v>
                </c:pt>
                <c:pt idx="3">
                  <c:v>100</c:v>
                </c:pt>
                <c:pt idx="4">
                  <c:v>91.35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A-4CD3-B9CC-EEEF8D31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256464"/>
        <c:axId val="978256880"/>
      </c:barChart>
      <c:catAx>
        <c:axId val="9782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880"/>
        <c:crosses val="autoZero"/>
        <c:auto val="1"/>
        <c:lblAlgn val="ctr"/>
        <c:lblOffset val="100"/>
        <c:noMultiLvlLbl val="0"/>
      </c:catAx>
      <c:valAx>
        <c:axId val="978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QUINZENAL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ORÇAMENTO_FEVEREIRO!$J$7:$M$9</c:f>
              <c:multiLvlStrCache>
                <c:ptCount val="3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</c:lvl>
                <c:lvl>
                  <c:pt idx="0">
                    <c:v>CARTÃO</c:v>
                  </c:pt>
                  <c:pt idx="1">
                    <c:v>TRANSPORTE</c:v>
                  </c:pt>
                  <c:pt idx="2">
                    <c:v>CARTÃO</c:v>
                  </c:pt>
                </c:lvl>
                <c:lvl>
                  <c:pt idx="0">
                    <c:v>CART/PAN</c:v>
                  </c:pt>
                  <c:pt idx="1">
                    <c:v>PARCELA MOTO0</c:v>
                  </c:pt>
                  <c:pt idx="2">
                    <c:v>FATURA VIVO</c:v>
                  </c:pt>
                </c:lvl>
                <c:lvl>
                  <c:pt idx="0">
                    <c:v>15/fev</c:v>
                  </c:pt>
                  <c:pt idx="1">
                    <c:v>20/fev</c:v>
                  </c:pt>
                  <c:pt idx="2">
                    <c:v>15/fev</c:v>
                  </c:pt>
                </c:lvl>
              </c:multiLvlStrCache>
            </c:multiLvlStrRef>
          </c:cat>
          <c:val>
            <c:numRef>
              <c:f>ORÇAMENTO_FEVEREIRO!$N$7:$N$9</c:f>
              <c:numCache>
                <c:formatCode>"R$"\ #,##0.00</c:formatCode>
                <c:ptCount val="3"/>
                <c:pt idx="0">
                  <c:v>55</c:v>
                </c:pt>
                <c:pt idx="1">
                  <c:v>520</c:v>
                </c:pt>
                <c:pt idx="2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6-4F10-920F-E166F82E9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13632"/>
        <c:axId val="960314048"/>
      </c:barChart>
      <c:catAx>
        <c:axId val="9603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4048"/>
        <c:crosses val="autoZero"/>
        <c:auto val="1"/>
        <c:lblAlgn val="ctr"/>
        <c:lblOffset val="100"/>
        <c:noMultiLvlLbl val="0"/>
      </c:catAx>
      <c:valAx>
        <c:axId val="9603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INICIO</a:t>
            </a:r>
            <a:r>
              <a:rPr lang="pt-BR" baseline="0"/>
              <a:t> DO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'ORÇAMENTO_MARÇO)'!$B$7:$E$11</c:f>
              <c:multiLvlStrCache>
                <c:ptCount val="5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  <c:pt idx="3">
                    <c:v>SAIDA</c:v>
                  </c:pt>
                  <c:pt idx="4">
                    <c:v>SAIDA</c:v>
                  </c:pt>
                </c:lvl>
                <c:lvl>
                  <c:pt idx="0">
                    <c:v>TRANSPORTE</c:v>
                  </c:pt>
                  <c:pt idx="1">
                    <c:v>CARTÕES</c:v>
                  </c:pt>
                  <c:pt idx="2">
                    <c:v>TRANSPORTE</c:v>
                  </c:pt>
                  <c:pt idx="3">
                    <c:v>LAZER</c:v>
                  </c:pt>
                  <c:pt idx="4">
                    <c:v>CARTÃO</c:v>
                  </c:pt>
                </c:lvl>
                <c:lvl>
                  <c:pt idx="0">
                    <c:v>SEGURO DA MOTO</c:v>
                  </c:pt>
                  <c:pt idx="1">
                    <c:v>CARTÃO INTER</c:v>
                  </c:pt>
                  <c:pt idx="2">
                    <c:v>GASOLINA</c:v>
                  </c:pt>
                  <c:pt idx="3">
                    <c:v>SHOPPING</c:v>
                  </c:pt>
                  <c:pt idx="4">
                    <c:v>CAPACETE</c:v>
                  </c:pt>
                </c:lvl>
                <c:lvl>
                  <c:pt idx="0">
                    <c:v>02/mar</c:v>
                  </c:pt>
                  <c:pt idx="1">
                    <c:v>02/mar</c:v>
                  </c:pt>
                  <c:pt idx="2">
                    <c:v>04/mar</c:v>
                  </c:pt>
                  <c:pt idx="3">
                    <c:v>05/mar</c:v>
                  </c:pt>
                  <c:pt idx="4">
                    <c:v>02/mar</c:v>
                  </c:pt>
                </c:lvl>
              </c:multiLvlStrCache>
            </c:multiLvlStrRef>
          </c:cat>
          <c:val>
            <c:numRef>
              <c:f>'ORÇAMENTO_MARÇO)'!$F$7:$F$11</c:f>
              <c:numCache>
                <c:formatCode>"R$"\ #,##0.00</c:formatCode>
                <c:ptCount val="5"/>
                <c:pt idx="0">
                  <c:v>500</c:v>
                </c:pt>
                <c:pt idx="1">
                  <c:v>313</c:v>
                </c:pt>
                <c:pt idx="2">
                  <c:v>170</c:v>
                </c:pt>
                <c:pt idx="3">
                  <c:v>200</c:v>
                </c:pt>
                <c:pt idx="4">
                  <c:v>91.35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C-4B24-9147-C5B7F9D4D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256464"/>
        <c:axId val="978256880"/>
      </c:barChart>
      <c:catAx>
        <c:axId val="9782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880"/>
        <c:crosses val="autoZero"/>
        <c:auto val="1"/>
        <c:lblAlgn val="ctr"/>
        <c:lblOffset val="100"/>
        <c:noMultiLvlLbl val="0"/>
      </c:catAx>
      <c:valAx>
        <c:axId val="978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QUINZENAL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'ORÇAMENTO_MARÇO)'!$J$7:$M$9</c:f>
              <c:multiLvlStrCache>
                <c:ptCount val="3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</c:lvl>
                <c:lvl>
                  <c:pt idx="0">
                    <c:v>CARTÃO</c:v>
                  </c:pt>
                  <c:pt idx="1">
                    <c:v>TRANSPORTE</c:v>
                  </c:pt>
                  <c:pt idx="2">
                    <c:v>CARTÃO</c:v>
                  </c:pt>
                </c:lvl>
                <c:lvl>
                  <c:pt idx="0">
                    <c:v>CART/PAN</c:v>
                  </c:pt>
                  <c:pt idx="1">
                    <c:v>PARCELA MOTO0</c:v>
                  </c:pt>
                  <c:pt idx="2">
                    <c:v>FATURA VIVO</c:v>
                  </c:pt>
                </c:lvl>
                <c:lvl>
                  <c:pt idx="0">
                    <c:v>15/mar</c:v>
                  </c:pt>
                  <c:pt idx="1">
                    <c:v>15/mar</c:v>
                  </c:pt>
                  <c:pt idx="2">
                    <c:v>16/mar</c:v>
                  </c:pt>
                </c:lvl>
              </c:multiLvlStrCache>
            </c:multiLvlStrRef>
          </c:cat>
          <c:val>
            <c:numRef>
              <c:f>'ORÇAMENTO_MARÇO)'!$N$7:$N$9</c:f>
              <c:numCache>
                <c:formatCode>"R$"\ #,##0.00</c:formatCode>
                <c:ptCount val="3"/>
                <c:pt idx="0">
                  <c:v>100</c:v>
                </c:pt>
                <c:pt idx="1">
                  <c:v>520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6-4C62-A57C-E69EAB52E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13632"/>
        <c:axId val="960314048"/>
      </c:barChart>
      <c:catAx>
        <c:axId val="9603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4048"/>
        <c:crosses val="autoZero"/>
        <c:auto val="1"/>
        <c:lblAlgn val="ctr"/>
        <c:lblOffset val="100"/>
        <c:noMultiLvlLbl val="0"/>
      </c:catAx>
      <c:valAx>
        <c:axId val="9603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INICIO</a:t>
            </a:r>
            <a:r>
              <a:rPr lang="pt-BR" baseline="0"/>
              <a:t> DO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ORÇAMENTO_ABRIL!$B$7:$E$11</c:f>
              <c:multiLvlStrCache>
                <c:ptCount val="5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  <c:pt idx="3">
                    <c:v>SAIDA</c:v>
                  </c:pt>
                  <c:pt idx="4">
                    <c:v>SAIDA</c:v>
                  </c:pt>
                </c:lvl>
                <c:lvl>
                  <c:pt idx="0">
                    <c:v>TRANSPORTE</c:v>
                  </c:pt>
                  <c:pt idx="1">
                    <c:v>CARTÕES</c:v>
                  </c:pt>
                  <c:pt idx="2">
                    <c:v>TRANSPORTE</c:v>
                  </c:pt>
                  <c:pt idx="3">
                    <c:v>LAZER</c:v>
                  </c:pt>
                  <c:pt idx="4">
                    <c:v>CARTÃO</c:v>
                  </c:pt>
                </c:lvl>
                <c:lvl>
                  <c:pt idx="0">
                    <c:v>SEGURO DA MOTO</c:v>
                  </c:pt>
                  <c:pt idx="1">
                    <c:v>CARTÃO INTER</c:v>
                  </c:pt>
                  <c:pt idx="2">
                    <c:v>GASOLINA</c:v>
                  </c:pt>
                  <c:pt idx="3">
                    <c:v>SHOPPING</c:v>
                  </c:pt>
                  <c:pt idx="4">
                    <c:v>CAPACETE</c:v>
                  </c:pt>
                </c:lvl>
                <c:lvl>
                  <c:pt idx="0">
                    <c:v>02/abr</c:v>
                  </c:pt>
                  <c:pt idx="1">
                    <c:v>02/abr</c:v>
                  </c:pt>
                  <c:pt idx="2">
                    <c:v>04/abr</c:v>
                  </c:pt>
                  <c:pt idx="3">
                    <c:v>05/abr</c:v>
                  </c:pt>
                  <c:pt idx="4">
                    <c:v>02/abr</c:v>
                  </c:pt>
                </c:lvl>
              </c:multiLvlStrCache>
            </c:multiLvlStrRef>
          </c:cat>
          <c:val>
            <c:numRef>
              <c:f>ORÇAMENTO_ABRIL!$F$7:$F$11</c:f>
              <c:numCache>
                <c:formatCode>"R$"\ #,##0.00</c:formatCode>
                <c:ptCount val="5"/>
                <c:pt idx="0">
                  <c:v>121</c:v>
                </c:pt>
                <c:pt idx="1">
                  <c:v>286</c:v>
                </c:pt>
                <c:pt idx="2">
                  <c:v>85</c:v>
                </c:pt>
                <c:pt idx="3">
                  <c:v>160</c:v>
                </c:pt>
                <c:pt idx="4">
                  <c:v>91.35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D-4B33-A7AA-552E93B6F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8256464"/>
        <c:axId val="978256880"/>
      </c:barChart>
      <c:catAx>
        <c:axId val="97825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880"/>
        <c:crosses val="autoZero"/>
        <c:auto val="1"/>
        <c:lblAlgn val="ctr"/>
        <c:lblOffset val="100"/>
        <c:noMultiLvlLbl val="0"/>
      </c:catAx>
      <c:valAx>
        <c:axId val="97825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825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QUINZENAL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ORÇAMENTO_ABRIL!$J$7:$M$9</c:f>
              <c:multiLvlStrCache>
                <c:ptCount val="3"/>
                <c:lvl>
                  <c:pt idx="0">
                    <c:v>SAIDA</c:v>
                  </c:pt>
                  <c:pt idx="1">
                    <c:v>SAIDA</c:v>
                  </c:pt>
                  <c:pt idx="2">
                    <c:v>SAIDA</c:v>
                  </c:pt>
                </c:lvl>
                <c:lvl>
                  <c:pt idx="0">
                    <c:v>CARTÃO</c:v>
                  </c:pt>
                  <c:pt idx="1">
                    <c:v>TRANSPORTE</c:v>
                  </c:pt>
                  <c:pt idx="2">
                    <c:v>CARTÃO</c:v>
                  </c:pt>
                </c:lvl>
                <c:lvl>
                  <c:pt idx="0">
                    <c:v>CART/PAN</c:v>
                  </c:pt>
                  <c:pt idx="1">
                    <c:v>PARCELA MOTO0</c:v>
                  </c:pt>
                  <c:pt idx="2">
                    <c:v>FATURA VIVO</c:v>
                  </c:pt>
                </c:lvl>
                <c:lvl>
                  <c:pt idx="0">
                    <c:v>15/abr</c:v>
                  </c:pt>
                  <c:pt idx="1">
                    <c:v>20/abr</c:v>
                  </c:pt>
                  <c:pt idx="2">
                    <c:v>16/abr</c:v>
                  </c:pt>
                </c:lvl>
              </c:multiLvlStrCache>
            </c:multiLvlStrRef>
          </c:cat>
          <c:val>
            <c:numRef>
              <c:f>ORÇAMENTO_ABRIL!$N$7:$N$9</c:f>
              <c:numCache>
                <c:formatCode>"R$"\ #,##0.00</c:formatCode>
                <c:ptCount val="3"/>
                <c:pt idx="0">
                  <c:v>55</c:v>
                </c:pt>
                <c:pt idx="1">
                  <c:v>520</c:v>
                </c:pt>
                <c:pt idx="2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E-4409-B012-76CC3985E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313632"/>
        <c:axId val="960314048"/>
      </c:barChart>
      <c:catAx>
        <c:axId val="9603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4048"/>
        <c:crosses val="autoZero"/>
        <c:auto val="1"/>
        <c:lblAlgn val="ctr"/>
        <c:lblOffset val="100"/>
        <c:noMultiLvlLbl val="0"/>
      </c:catAx>
      <c:valAx>
        <c:axId val="9603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031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COMPARAÇAO DE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LAZER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GERAL_TRIMESTRAL'!$C$3:$E$3</c:f>
              <c:strCache>
                <c:ptCount val="3"/>
                <c:pt idx="0">
                  <c:v>FEVEREIRO</c:v>
                </c:pt>
                <c:pt idx="1">
                  <c:v>MARÇO</c:v>
                </c:pt>
                <c:pt idx="2">
                  <c:v>ABRIL</c:v>
                </c:pt>
              </c:strCache>
            </c:strRef>
          </c:cat>
          <c:val>
            <c:numRef>
              <c:f>'TOTAL GERAL_TRIMESTRAL'!$C$4:$E$4</c:f>
              <c:numCache>
                <c:formatCode>"R$"\ #,##0.00</c:formatCode>
                <c:ptCount val="3"/>
                <c:pt idx="0">
                  <c:v>100</c:v>
                </c:pt>
                <c:pt idx="1">
                  <c:v>200</c:v>
                </c:pt>
                <c:pt idx="2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7-4508-B357-98432B146CA8}"/>
            </c:ext>
          </c:extLst>
        </c:ser>
        <c:ser>
          <c:idx val="1"/>
          <c:order val="1"/>
          <c:tx>
            <c:v>TRANSPORTE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GERAL_TRIMESTRAL'!$C$3:$E$3</c:f>
              <c:strCache>
                <c:ptCount val="3"/>
                <c:pt idx="0">
                  <c:v>FEVEREIRO</c:v>
                </c:pt>
                <c:pt idx="1">
                  <c:v>MARÇO</c:v>
                </c:pt>
                <c:pt idx="2">
                  <c:v>ABRIL</c:v>
                </c:pt>
              </c:strCache>
            </c:strRef>
          </c:cat>
          <c:val>
            <c:numRef>
              <c:f>'TOTAL GERAL_TRIMESTRAL'!$C$5:$E$5</c:f>
              <c:numCache>
                <c:formatCode>"R$"\ #,##0.00</c:formatCode>
                <c:ptCount val="3"/>
                <c:pt idx="0">
                  <c:v>840</c:v>
                </c:pt>
                <c:pt idx="1">
                  <c:v>1190</c:v>
                </c:pt>
                <c:pt idx="2">
                  <c:v>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27-4508-B357-98432B146CA8}"/>
            </c:ext>
          </c:extLst>
        </c:ser>
        <c:ser>
          <c:idx val="2"/>
          <c:order val="2"/>
          <c:tx>
            <c:v>CARTÃO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GERAL_TRIMESTRAL'!$C$3:$E$3</c:f>
              <c:strCache>
                <c:ptCount val="3"/>
                <c:pt idx="0">
                  <c:v>FEVEREIRO</c:v>
                </c:pt>
                <c:pt idx="1">
                  <c:v>MARÇO</c:v>
                </c:pt>
                <c:pt idx="2">
                  <c:v>ABRIL</c:v>
                </c:pt>
              </c:strCache>
            </c:strRef>
          </c:cat>
          <c:val>
            <c:numRef>
              <c:f>'TOTAL GERAL_TRIMESTRAL'!$C$6:$E$6</c:f>
              <c:numCache>
                <c:formatCode>"R$"\ #,##0.00</c:formatCode>
                <c:ptCount val="3"/>
                <c:pt idx="0">
                  <c:v>546.35</c:v>
                </c:pt>
                <c:pt idx="1">
                  <c:v>579.35</c:v>
                </c:pt>
                <c:pt idx="2">
                  <c:v>476.35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7-4508-B357-98432B146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034112"/>
        <c:axId val="1274035776"/>
      </c:barChart>
      <c:catAx>
        <c:axId val="1274034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4035776"/>
        <c:crosses val="autoZero"/>
        <c:auto val="1"/>
        <c:lblAlgn val="ctr"/>
        <c:lblOffset val="100"/>
        <c:noMultiLvlLbl val="0"/>
      </c:catAx>
      <c:valAx>
        <c:axId val="12740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4034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585787</xdr:colOff>
      <xdr:row>12</xdr:row>
      <xdr:rowOff>176212</xdr:rowOff>
    </xdr:from>
    <xdr:to>
      <xdr:col>4</xdr:col>
      <xdr:colOff>481012</xdr:colOff>
      <xdr:row>27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4CD7B1-1AE3-480D-992F-51719CADF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11</xdr:row>
      <xdr:rowOff>4762</xdr:rowOff>
    </xdr:from>
    <xdr:to>
      <xdr:col>14</xdr:col>
      <xdr:colOff>257175</xdr:colOff>
      <xdr:row>25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CFB540-01EA-4F07-968D-F41878DAA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585787</xdr:colOff>
      <xdr:row>12</xdr:row>
      <xdr:rowOff>176212</xdr:rowOff>
    </xdr:from>
    <xdr:to>
      <xdr:col>4</xdr:col>
      <xdr:colOff>481012</xdr:colOff>
      <xdr:row>27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77806C-4139-4204-8D3C-50B2D0C69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11</xdr:row>
      <xdr:rowOff>4762</xdr:rowOff>
    </xdr:from>
    <xdr:to>
      <xdr:col>14</xdr:col>
      <xdr:colOff>257175</xdr:colOff>
      <xdr:row>25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342B5A-3CDB-4F46-8D82-535FB0EF56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585787</xdr:colOff>
      <xdr:row>12</xdr:row>
      <xdr:rowOff>176212</xdr:rowOff>
    </xdr:from>
    <xdr:to>
      <xdr:col>4</xdr:col>
      <xdr:colOff>481012</xdr:colOff>
      <xdr:row>27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64B1F1F-72C2-46B6-96F1-D345B1508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11</xdr:row>
      <xdr:rowOff>4762</xdr:rowOff>
    </xdr:from>
    <xdr:to>
      <xdr:col>14</xdr:col>
      <xdr:colOff>257175</xdr:colOff>
      <xdr:row>25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AFBCCA9-281D-4262-A3DE-409453429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10</xdr:row>
      <xdr:rowOff>166687</xdr:rowOff>
    </xdr:from>
    <xdr:to>
      <xdr:col>6</xdr:col>
      <xdr:colOff>161925</xdr:colOff>
      <xdr:row>25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FB81BF-C351-4FAF-8DE2-727E9D0D4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BF04-8ED1-402D-A528-57A2182C10DE}">
  <dimension ref="A1:S17"/>
  <sheetViews>
    <sheetView workbookViewId="0">
      <selection activeCell="I20" sqref="I20"/>
    </sheetView>
  </sheetViews>
  <sheetFormatPr defaultRowHeight="15" x14ac:dyDescent="0.25"/>
  <cols>
    <col min="2" max="2" width="21.85546875" bestFit="1" customWidth="1"/>
    <col min="3" max="3" width="22.42578125" bestFit="1" customWidth="1"/>
    <col min="4" max="4" width="16.7109375" bestFit="1" customWidth="1"/>
    <col min="5" max="5" width="8.140625" bestFit="1" customWidth="1"/>
    <col min="6" max="6" width="13.7109375" bestFit="1" customWidth="1"/>
    <col min="10" max="10" width="9.42578125" bestFit="1" customWidth="1"/>
    <col min="11" max="11" width="20.85546875" bestFit="1" customWidth="1"/>
    <col min="12" max="12" width="16.7109375" bestFit="1" customWidth="1"/>
    <col min="13" max="13" width="8.140625" bestFit="1" customWidth="1"/>
    <col min="14" max="14" width="11.7109375" bestFit="1" customWidth="1"/>
  </cols>
  <sheetData>
    <row r="1" spans="1:19" ht="27.75" x14ac:dyDescent="0.4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.75" x14ac:dyDescent="0.25">
      <c r="A2" s="13"/>
      <c r="B2" s="14" t="s">
        <v>23</v>
      </c>
      <c r="C2" s="15">
        <v>2143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x14ac:dyDescent="0.25">
      <c r="A3" s="13"/>
      <c r="B3" s="14" t="s">
        <v>24</v>
      </c>
      <c r="C3" s="15">
        <f>SUM(F12+N10)</f>
        <v>1486.35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5.75" x14ac:dyDescent="0.25">
      <c r="A4" s="13"/>
      <c r="B4" s="14" t="s">
        <v>25</v>
      </c>
      <c r="C4" s="15">
        <f>SUM(C2-C3)</f>
        <v>656.65000000000009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5.75" x14ac:dyDescent="0.25">
      <c r="A5" s="2"/>
      <c r="B5" s="10" t="s">
        <v>1</v>
      </c>
      <c r="C5" s="10"/>
      <c r="D5" s="10"/>
      <c r="E5" s="10"/>
      <c r="F5" s="10"/>
      <c r="G5" s="2"/>
      <c r="H5" s="2"/>
      <c r="J5" s="9" t="s">
        <v>19</v>
      </c>
      <c r="K5" s="9"/>
      <c r="L5" s="9"/>
      <c r="M5" s="9"/>
      <c r="N5" s="9"/>
    </row>
    <row r="6" spans="1:19" ht="15.75" x14ac:dyDescent="0.25">
      <c r="B6" s="11" t="s">
        <v>5</v>
      </c>
      <c r="C6" s="12" t="s">
        <v>3</v>
      </c>
      <c r="D6" s="12" t="s">
        <v>6</v>
      </c>
      <c r="E6" s="12" t="s">
        <v>7</v>
      </c>
      <c r="F6" s="12" t="s">
        <v>9</v>
      </c>
      <c r="J6" s="11" t="s">
        <v>5</v>
      </c>
      <c r="K6" s="11" t="s">
        <v>3</v>
      </c>
      <c r="L6" s="11" t="s">
        <v>6</v>
      </c>
      <c r="M6" s="11" t="s">
        <v>7</v>
      </c>
      <c r="N6" s="11" t="s">
        <v>9</v>
      </c>
    </row>
    <row r="7" spans="1:19" ht="15.75" x14ac:dyDescent="0.25">
      <c r="B7" s="4">
        <v>46054</v>
      </c>
      <c r="C7" s="5" t="s">
        <v>10</v>
      </c>
      <c r="D7" s="5" t="s">
        <v>11</v>
      </c>
      <c r="E7" s="5" t="s">
        <v>8</v>
      </c>
      <c r="F7" s="5">
        <v>150</v>
      </c>
      <c r="J7" s="8">
        <v>46068</v>
      </c>
      <c r="K7" s="7" t="s">
        <v>20</v>
      </c>
      <c r="L7" s="7" t="s">
        <v>4</v>
      </c>
      <c r="M7" s="7" t="s">
        <v>8</v>
      </c>
      <c r="N7" s="5">
        <v>55</v>
      </c>
    </row>
    <row r="8" spans="1:19" ht="15.75" x14ac:dyDescent="0.25">
      <c r="B8" s="4">
        <v>46055</v>
      </c>
      <c r="C8" s="5" t="s">
        <v>12</v>
      </c>
      <c r="D8" s="5" t="s">
        <v>13</v>
      </c>
      <c r="E8" s="5" t="s">
        <v>8</v>
      </c>
      <c r="F8" s="5">
        <v>250</v>
      </c>
      <c r="J8" s="8">
        <v>46073</v>
      </c>
      <c r="K8" s="7" t="s">
        <v>21</v>
      </c>
      <c r="L8" s="7" t="s">
        <v>11</v>
      </c>
      <c r="M8" s="7" t="s">
        <v>8</v>
      </c>
      <c r="N8" s="5">
        <v>520</v>
      </c>
    </row>
    <row r="9" spans="1:19" ht="15.75" x14ac:dyDescent="0.25">
      <c r="B9" s="4">
        <v>46057</v>
      </c>
      <c r="C9" s="5" t="s">
        <v>14</v>
      </c>
      <c r="D9" s="5" t="s">
        <v>11</v>
      </c>
      <c r="E9" s="5" t="s">
        <v>8</v>
      </c>
      <c r="F9" s="5">
        <v>170</v>
      </c>
      <c r="J9" s="8">
        <v>46068</v>
      </c>
      <c r="K9" s="7" t="s">
        <v>22</v>
      </c>
      <c r="L9" s="7" t="s">
        <v>4</v>
      </c>
      <c r="M9" s="7" t="s">
        <v>8</v>
      </c>
      <c r="N9" s="5">
        <v>150</v>
      </c>
    </row>
    <row r="10" spans="1:19" ht="15.75" x14ac:dyDescent="0.25">
      <c r="B10" s="4">
        <v>46058</v>
      </c>
      <c r="C10" s="5" t="s">
        <v>15</v>
      </c>
      <c r="D10" s="5" t="s">
        <v>16</v>
      </c>
      <c r="E10" s="5" t="s">
        <v>8</v>
      </c>
      <c r="F10" s="5">
        <v>100</v>
      </c>
      <c r="J10" s="8">
        <v>46081</v>
      </c>
      <c r="K10" s="7" t="s">
        <v>18</v>
      </c>
      <c r="L10" s="7"/>
      <c r="M10" s="7"/>
      <c r="N10" s="5">
        <f>SUM(N7:N9)</f>
        <v>725</v>
      </c>
    </row>
    <row r="11" spans="1:19" ht="15.75" x14ac:dyDescent="0.25">
      <c r="B11" s="4">
        <v>46055</v>
      </c>
      <c r="C11" s="5" t="s">
        <v>17</v>
      </c>
      <c r="D11" s="5" t="s">
        <v>4</v>
      </c>
      <c r="E11" s="5" t="s">
        <v>8</v>
      </c>
      <c r="F11" s="5">
        <v>91.35</v>
      </c>
      <c r="N11" s="3"/>
    </row>
    <row r="12" spans="1:19" ht="15.75" x14ac:dyDescent="0.25">
      <c r="B12" s="4">
        <v>46067</v>
      </c>
      <c r="C12" s="5" t="s">
        <v>18</v>
      </c>
      <c r="D12" s="5"/>
      <c r="E12" s="5"/>
      <c r="F12" s="5">
        <f>SUM(F7:F11)</f>
        <v>761.35</v>
      </c>
      <c r="N12" s="3"/>
    </row>
    <row r="13" spans="1:19" x14ac:dyDescent="0.25">
      <c r="B13" s="1"/>
      <c r="C13" s="3"/>
      <c r="D13" s="3"/>
      <c r="E13" s="3"/>
      <c r="F13" s="3"/>
    </row>
    <row r="14" spans="1:19" x14ac:dyDescent="0.25">
      <c r="C14" s="3"/>
      <c r="D14" s="3"/>
      <c r="E14" s="3"/>
      <c r="F14" s="3"/>
    </row>
    <row r="15" spans="1:19" x14ac:dyDescent="0.25">
      <c r="C15" s="3"/>
      <c r="D15" s="3"/>
      <c r="E15" s="3"/>
      <c r="F15" s="3"/>
    </row>
    <row r="16" spans="1:19" x14ac:dyDescent="0.25">
      <c r="C16" s="3"/>
      <c r="D16" s="3"/>
      <c r="E16" s="3"/>
      <c r="F16" s="3"/>
    </row>
    <row r="17" spans="3:6" x14ac:dyDescent="0.25">
      <c r="C17" s="3"/>
      <c r="D17" s="3"/>
      <c r="E17" s="3"/>
      <c r="F17" s="3"/>
    </row>
  </sheetData>
  <mergeCells count="3">
    <mergeCell ref="A1:S1"/>
    <mergeCell ref="B5:F5"/>
    <mergeCell ref="J5:N5"/>
  </mergeCells>
  <conditionalFormatting sqref="C4">
    <cfRule type="cellIs" dxfId="5" priority="1" operator="lessThanOrEqual">
      <formula>0</formula>
    </cfRule>
    <cfRule type="cellIs" dxfId="4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4A55-4BF9-467B-BCF0-B3DA9F23C5D9}">
  <dimension ref="A1:S17"/>
  <sheetViews>
    <sheetView workbookViewId="0">
      <selection activeCell="J11" sqref="J11"/>
    </sheetView>
  </sheetViews>
  <sheetFormatPr defaultRowHeight="15" x14ac:dyDescent="0.25"/>
  <cols>
    <col min="2" max="2" width="21.85546875" bestFit="1" customWidth="1"/>
    <col min="3" max="3" width="22.42578125" bestFit="1" customWidth="1"/>
    <col min="4" max="4" width="16.7109375" bestFit="1" customWidth="1"/>
    <col min="5" max="5" width="8.140625" bestFit="1" customWidth="1"/>
    <col min="6" max="6" width="13.7109375" bestFit="1" customWidth="1"/>
    <col min="10" max="10" width="9.42578125" bestFit="1" customWidth="1"/>
    <col min="11" max="11" width="20.85546875" bestFit="1" customWidth="1"/>
    <col min="12" max="12" width="16.7109375" bestFit="1" customWidth="1"/>
    <col min="13" max="13" width="8.140625" bestFit="1" customWidth="1"/>
    <col min="14" max="14" width="11.7109375" bestFit="1" customWidth="1"/>
  </cols>
  <sheetData>
    <row r="1" spans="1:19" ht="27.75" x14ac:dyDescent="0.4">
      <c r="A1" s="6" t="s">
        <v>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.75" x14ac:dyDescent="0.25">
      <c r="A2" s="13"/>
      <c r="B2" s="14" t="s">
        <v>23</v>
      </c>
      <c r="C2" s="15">
        <v>2143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x14ac:dyDescent="0.25">
      <c r="A3" s="13"/>
      <c r="B3" s="14" t="s">
        <v>24</v>
      </c>
      <c r="C3" s="15">
        <f>SUM(F12+N10)</f>
        <v>1969.35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5.75" x14ac:dyDescent="0.25">
      <c r="A4" s="13"/>
      <c r="B4" s="14" t="s">
        <v>25</v>
      </c>
      <c r="C4" s="15">
        <f>SUM(C2-C3)</f>
        <v>173.65000000000009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5.75" x14ac:dyDescent="0.25">
      <c r="A5" s="2"/>
      <c r="B5" s="10" t="s">
        <v>1</v>
      </c>
      <c r="C5" s="10"/>
      <c r="D5" s="10"/>
      <c r="E5" s="10"/>
      <c r="F5" s="10"/>
      <c r="G5" s="2"/>
      <c r="H5" s="2"/>
      <c r="J5" s="9" t="s">
        <v>19</v>
      </c>
      <c r="K5" s="9"/>
      <c r="L5" s="9"/>
      <c r="M5" s="9"/>
      <c r="N5" s="9"/>
    </row>
    <row r="6" spans="1:19" ht="15.75" x14ac:dyDescent="0.25">
      <c r="B6" s="11" t="s">
        <v>5</v>
      </c>
      <c r="C6" s="12" t="s">
        <v>3</v>
      </c>
      <c r="D6" s="12" t="s">
        <v>6</v>
      </c>
      <c r="E6" s="12" t="s">
        <v>7</v>
      </c>
      <c r="F6" s="12" t="s">
        <v>9</v>
      </c>
      <c r="J6" s="11" t="s">
        <v>5</v>
      </c>
      <c r="K6" s="11" t="s">
        <v>3</v>
      </c>
      <c r="L6" s="11" t="s">
        <v>6</v>
      </c>
      <c r="M6" s="11" t="s">
        <v>7</v>
      </c>
      <c r="N6" s="11" t="s">
        <v>9</v>
      </c>
    </row>
    <row r="7" spans="1:19" ht="15.75" x14ac:dyDescent="0.25">
      <c r="B7" s="4">
        <v>46083</v>
      </c>
      <c r="C7" s="5" t="s">
        <v>10</v>
      </c>
      <c r="D7" s="5" t="s">
        <v>11</v>
      </c>
      <c r="E7" s="5" t="s">
        <v>8</v>
      </c>
      <c r="F7" s="5">
        <v>500</v>
      </c>
      <c r="J7" s="8">
        <v>46096</v>
      </c>
      <c r="K7" s="7" t="s">
        <v>20</v>
      </c>
      <c r="L7" s="7" t="s">
        <v>4</v>
      </c>
      <c r="M7" s="7" t="s">
        <v>8</v>
      </c>
      <c r="N7" s="5">
        <v>100</v>
      </c>
    </row>
    <row r="8" spans="1:19" ht="15.75" x14ac:dyDescent="0.25">
      <c r="B8" s="4">
        <v>46083</v>
      </c>
      <c r="C8" s="5" t="s">
        <v>12</v>
      </c>
      <c r="D8" s="5" t="s">
        <v>13</v>
      </c>
      <c r="E8" s="5" t="s">
        <v>8</v>
      </c>
      <c r="F8" s="5">
        <v>313</v>
      </c>
      <c r="J8" s="8">
        <v>46096</v>
      </c>
      <c r="K8" s="7" t="s">
        <v>21</v>
      </c>
      <c r="L8" s="7" t="s">
        <v>11</v>
      </c>
      <c r="M8" s="7" t="s">
        <v>8</v>
      </c>
      <c r="N8" s="5">
        <v>520</v>
      </c>
    </row>
    <row r="9" spans="1:19" ht="15.75" x14ac:dyDescent="0.25">
      <c r="B9" s="4">
        <v>46085</v>
      </c>
      <c r="C9" s="5" t="s">
        <v>14</v>
      </c>
      <c r="D9" s="5" t="s">
        <v>11</v>
      </c>
      <c r="E9" s="5" t="s">
        <v>8</v>
      </c>
      <c r="F9" s="5">
        <v>170</v>
      </c>
      <c r="J9" s="8">
        <v>46097</v>
      </c>
      <c r="K9" s="7" t="s">
        <v>22</v>
      </c>
      <c r="L9" s="7" t="s">
        <v>4</v>
      </c>
      <c r="M9" s="7" t="s">
        <v>8</v>
      </c>
      <c r="N9" s="5">
        <v>75</v>
      </c>
    </row>
    <row r="10" spans="1:19" ht="15.75" x14ac:dyDescent="0.25">
      <c r="B10" s="4">
        <v>46086</v>
      </c>
      <c r="C10" s="5" t="s">
        <v>15</v>
      </c>
      <c r="D10" s="5" t="s">
        <v>16</v>
      </c>
      <c r="E10" s="5" t="s">
        <v>8</v>
      </c>
      <c r="F10" s="5">
        <v>200</v>
      </c>
      <c r="J10" s="8">
        <v>46111</v>
      </c>
      <c r="K10" s="7" t="s">
        <v>18</v>
      </c>
      <c r="L10" s="7"/>
      <c r="M10" s="7"/>
      <c r="N10" s="5">
        <f>SUM(N7:N9)</f>
        <v>695</v>
      </c>
    </row>
    <row r="11" spans="1:19" ht="15.75" x14ac:dyDescent="0.25">
      <c r="B11" s="4">
        <v>46083</v>
      </c>
      <c r="C11" s="5" t="s">
        <v>17</v>
      </c>
      <c r="D11" s="5" t="s">
        <v>4</v>
      </c>
      <c r="E11" s="5" t="s">
        <v>8</v>
      </c>
      <c r="F11" s="5">
        <v>91.35</v>
      </c>
      <c r="N11" s="3"/>
    </row>
    <row r="12" spans="1:19" ht="15.75" x14ac:dyDescent="0.25">
      <c r="B12" s="4">
        <v>46095</v>
      </c>
      <c r="C12" s="5" t="s">
        <v>18</v>
      </c>
      <c r="D12" s="5"/>
      <c r="E12" s="5"/>
      <c r="F12" s="5">
        <f>SUM(F7:F11)</f>
        <v>1274.3499999999999</v>
      </c>
      <c r="N12" s="3"/>
    </row>
    <row r="13" spans="1:19" x14ac:dyDescent="0.25">
      <c r="B13" s="1"/>
      <c r="C13" s="3"/>
      <c r="D13" s="3"/>
      <c r="E13" s="3"/>
      <c r="F13" s="3"/>
    </row>
    <row r="14" spans="1:19" x14ac:dyDescent="0.25">
      <c r="C14" s="3"/>
      <c r="D14" s="3"/>
      <c r="E14" s="3"/>
      <c r="F14" s="3"/>
    </row>
    <row r="15" spans="1:19" x14ac:dyDescent="0.25">
      <c r="C15" s="3"/>
      <c r="D15" s="3"/>
      <c r="E15" s="3"/>
      <c r="F15" s="3"/>
    </row>
    <row r="16" spans="1:19" x14ac:dyDescent="0.25">
      <c r="C16" s="3"/>
      <c r="D16" s="3"/>
      <c r="E16" s="3"/>
      <c r="F16" s="3"/>
    </row>
    <row r="17" spans="3:6" x14ac:dyDescent="0.25">
      <c r="C17" s="3"/>
      <c r="D17" s="3"/>
      <c r="E17" s="3"/>
      <c r="F17" s="3"/>
    </row>
  </sheetData>
  <mergeCells count="3">
    <mergeCell ref="A1:S1"/>
    <mergeCell ref="B5:F5"/>
    <mergeCell ref="J5:N5"/>
  </mergeCells>
  <conditionalFormatting sqref="C4">
    <cfRule type="cellIs" dxfId="3" priority="1" operator="lessThanOrEqual">
      <formula>0</formula>
    </cfRule>
    <cfRule type="cellIs" dxfId="2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6774-DC87-480D-8BCA-CC709907C96B}">
  <dimension ref="A1:S17"/>
  <sheetViews>
    <sheetView workbookViewId="0">
      <selection activeCell="J11" sqref="J11"/>
    </sheetView>
  </sheetViews>
  <sheetFormatPr defaultRowHeight="15" x14ac:dyDescent="0.25"/>
  <cols>
    <col min="2" max="2" width="21.85546875" bestFit="1" customWidth="1"/>
    <col min="3" max="3" width="22.42578125" bestFit="1" customWidth="1"/>
    <col min="4" max="4" width="16.7109375" bestFit="1" customWidth="1"/>
    <col min="5" max="5" width="8.140625" bestFit="1" customWidth="1"/>
    <col min="6" max="6" width="11.7109375" bestFit="1" customWidth="1"/>
    <col min="10" max="10" width="9.42578125" bestFit="1" customWidth="1"/>
    <col min="11" max="11" width="20.85546875" bestFit="1" customWidth="1"/>
    <col min="12" max="12" width="16.7109375" bestFit="1" customWidth="1"/>
    <col min="13" max="13" width="8.140625" bestFit="1" customWidth="1"/>
    <col min="14" max="14" width="11.7109375" bestFit="1" customWidth="1"/>
  </cols>
  <sheetData>
    <row r="1" spans="1:19" ht="27.75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.75" x14ac:dyDescent="0.25">
      <c r="A2" s="13"/>
      <c r="B2" s="14" t="s">
        <v>23</v>
      </c>
      <c r="C2" s="15">
        <v>2143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15.75" x14ac:dyDescent="0.25">
      <c r="A3" s="13"/>
      <c r="B3" s="14" t="s">
        <v>24</v>
      </c>
      <c r="C3" s="15">
        <f>SUM(F12+N10)</f>
        <v>1362.35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ht="15.75" x14ac:dyDescent="0.25">
      <c r="A4" s="13"/>
      <c r="B4" s="14" t="s">
        <v>25</v>
      </c>
      <c r="C4" s="15">
        <f>SUM(C2-C3)</f>
        <v>780.65000000000009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ht="15.75" x14ac:dyDescent="0.25">
      <c r="A5" s="2"/>
      <c r="B5" s="10" t="s">
        <v>1</v>
      </c>
      <c r="C5" s="10"/>
      <c r="D5" s="10"/>
      <c r="E5" s="10"/>
      <c r="F5" s="10"/>
      <c r="G5" s="2"/>
      <c r="H5" s="2"/>
      <c r="J5" s="9" t="s">
        <v>19</v>
      </c>
      <c r="K5" s="9"/>
      <c r="L5" s="9"/>
      <c r="M5" s="9"/>
      <c r="N5" s="9"/>
    </row>
    <row r="6" spans="1:19" ht="15.75" x14ac:dyDescent="0.25">
      <c r="B6" s="11" t="s">
        <v>5</v>
      </c>
      <c r="C6" s="12" t="s">
        <v>3</v>
      </c>
      <c r="D6" s="12" t="s">
        <v>6</v>
      </c>
      <c r="E6" s="12" t="s">
        <v>7</v>
      </c>
      <c r="F6" s="12" t="s">
        <v>9</v>
      </c>
      <c r="J6" s="11" t="s">
        <v>5</v>
      </c>
      <c r="K6" s="11" t="s">
        <v>3</v>
      </c>
      <c r="L6" s="11" t="s">
        <v>6</v>
      </c>
      <c r="M6" s="11" t="s">
        <v>7</v>
      </c>
      <c r="N6" s="11" t="s">
        <v>9</v>
      </c>
    </row>
    <row r="7" spans="1:19" ht="15.75" x14ac:dyDescent="0.25">
      <c r="B7" s="4">
        <v>46114</v>
      </c>
      <c r="C7" s="5" t="s">
        <v>10</v>
      </c>
      <c r="D7" s="5" t="s">
        <v>11</v>
      </c>
      <c r="E7" s="5" t="s">
        <v>8</v>
      </c>
      <c r="F7" s="5">
        <v>121</v>
      </c>
      <c r="J7" s="8">
        <v>46127</v>
      </c>
      <c r="K7" s="7" t="s">
        <v>20</v>
      </c>
      <c r="L7" s="7" t="s">
        <v>4</v>
      </c>
      <c r="M7" s="7" t="s">
        <v>8</v>
      </c>
      <c r="N7" s="5">
        <v>55</v>
      </c>
    </row>
    <row r="8" spans="1:19" ht="15.75" x14ac:dyDescent="0.25">
      <c r="B8" s="4">
        <v>46114</v>
      </c>
      <c r="C8" s="5" t="s">
        <v>12</v>
      </c>
      <c r="D8" s="5" t="s">
        <v>13</v>
      </c>
      <c r="E8" s="5" t="s">
        <v>8</v>
      </c>
      <c r="F8" s="5">
        <v>286</v>
      </c>
      <c r="J8" s="8">
        <v>46132</v>
      </c>
      <c r="K8" s="7" t="s">
        <v>21</v>
      </c>
      <c r="L8" s="7" t="s">
        <v>11</v>
      </c>
      <c r="M8" s="7" t="s">
        <v>8</v>
      </c>
      <c r="N8" s="5">
        <v>520</v>
      </c>
    </row>
    <row r="9" spans="1:19" ht="15.75" x14ac:dyDescent="0.25">
      <c r="B9" s="4">
        <v>46116</v>
      </c>
      <c r="C9" s="5" t="s">
        <v>14</v>
      </c>
      <c r="D9" s="5" t="s">
        <v>11</v>
      </c>
      <c r="E9" s="5" t="s">
        <v>8</v>
      </c>
      <c r="F9" s="5">
        <v>85</v>
      </c>
      <c r="J9" s="8">
        <v>46128</v>
      </c>
      <c r="K9" s="7" t="s">
        <v>22</v>
      </c>
      <c r="L9" s="7" t="s">
        <v>4</v>
      </c>
      <c r="M9" s="7" t="s">
        <v>8</v>
      </c>
      <c r="N9" s="5">
        <v>44</v>
      </c>
    </row>
    <row r="10" spans="1:19" ht="15.75" x14ac:dyDescent="0.25">
      <c r="B10" s="4">
        <v>46117</v>
      </c>
      <c r="C10" s="5" t="s">
        <v>15</v>
      </c>
      <c r="D10" s="5" t="s">
        <v>16</v>
      </c>
      <c r="E10" s="5" t="s">
        <v>8</v>
      </c>
      <c r="F10" s="5">
        <v>160</v>
      </c>
      <c r="J10" s="8">
        <v>46142</v>
      </c>
      <c r="K10" s="7" t="s">
        <v>18</v>
      </c>
      <c r="L10" s="7"/>
      <c r="M10" s="7"/>
      <c r="N10" s="5">
        <f>SUM(N7:N9)</f>
        <v>619</v>
      </c>
    </row>
    <row r="11" spans="1:19" ht="15.75" x14ac:dyDescent="0.25">
      <c r="B11" s="4">
        <v>46114</v>
      </c>
      <c r="C11" s="5" t="s">
        <v>17</v>
      </c>
      <c r="D11" s="5" t="s">
        <v>4</v>
      </c>
      <c r="E11" s="5" t="s">
        <v>8</v>
      </c>
      <c r="F11" s="5">
        <v>91.35</v>
      </c>
      <c r="N11" s="3"/>
    </row>
    <row r="12" spans="1:19" ht="15.75" x14ac:dyDescent="0.25">
      <c r="B12" s="4">
        <v>46126</v>
      </c>
      <c r="C12" s="5" t="s">
        <v>18</v>
      </c>
      <c r="D12" s="5"/>
      <c r="E12" s="5"/>
      <c r="F12" s="5">
        <f>SUM(F7:F11)</f>
        <v>743.35</v>
      </c>
      <c r="N12" s="3"/>
    </row>
    <row r="13" spans="1:19" x14ac:dyDescent="0.25">
      <c r="B13" s="1"/>
      <c r="C13" s="3"/>
      <c r="D13" s="3"/>
      <c r="E13" s="3"/>
      <c r="F13" s="3"/>
    </row>
    <row r="14" spans="1:19" x14ac:dyDescent="0.25">
      <c r="C14" s="3"/>
      <c r="D14" s="3"/>
      <c r="E14" s="3"/>
      <c r="F14" s="3"/>
    </row>
    <row r="15" spans="1:19" x14ac:dyDescent="0.25">
      <c r="C15" s="3"/>
      <c r="D15" s="3"/>
      <c r="E15" s="3"/>
      <c r="F15" s="3"/>
    </row>
    <row r="16" spans="1:19" x14ac:dyDescent="0.25">
      <c r="C16" s="3"/>
      <c r="D16" s="3"/>
      <c r="E16" s="3"/>
      <c r="F16" s="3"/>
    </row>
    <row r="17" spans="3:6" x14ac:dyDescent="0.25">
      <c r="C17" s="3"/>
      <c r="D17" s="3"/>
      <c r="E17" s="3"/>
      <c r="F17" s="3"/>
    </row>
  </sheetData>
  <mergeCells count="3">
    <mergeCell ref="B5:F5"/>
    <mergeCell ref="A1:S1"/>
    <mergeCell ref="J5:N5"/>
  </mergeCells>
  <conditionalFormatting sqref="C4">
    <cfRule type="cellIs" dxfId="1" priority="1" operator="lessThanOrEqual">
      <formula>0</formula>
    </cfRule>
    <cfRule type="cellIs" dxfId="0" priority="2" operator="greaterThanOrEqual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B873-C743-4A88-AB18-091117452528}">
  <dimension ref="A1:J13"/>
  <sheetViews>
    <sheetView tabSelected="1" workbookViewId="0">
      <selection activeCell="J11" sqref="J11"/>
    </sheetView>
  </sheetViews>
  <sheetFormatPr defaultRowHeight="15" x14ac:dyDescent="0.25"/>
  <cols>
    <col min="2" max="2" width="16.5703125" bestFit="1" customWidth="1"/>
    <col min="3" max="3" width="14.85546875" bestFit="1" customWidth="1"/>
    <col min="4" max="5" width="10.7109375" bestFit="1" customWidth="1"/>
    <col min="6" max="6" width="17.7109375" bestFit="1" customWidth="1"/>
    <col min="7" max="7" width="17.28515625" bestFit="1" customWidth="1"/>
    <col min="10" max="10" width="8.5703125" bestFit="1" customWidth="1"/>
  </cols>
  <sheetData>
    <row r="1" spans="1:10" ht="26.25" x14ac:dyDescent="0.4">
      <c r="A1" s="16" t="s">
        <v>26</v>
      </c>
      <c r="B1" s="17"/>
      <c r="C1" s="17"/>
      <c r="D1" s="17"/>
      <c r="E1" s="17"/>
      <c r="F1" s="17"/>
      <c r="G1" s="17"/>
    </row>
    <row r="3" spans="1:10" ht="15.75" customHeight="1" x14ac:dyDescent="0.25">
      <c r="A3" s="1"/>
      <c r="B3" s="18" t="s">
        <v>2</v>
      </c>
      <c r="C3" s="18" t="s">
        <v>27</v>
      </c>
      <c r="D3" s="18" t="s">
        <v>28</v>
      </c>
      <c r="E3" s="18" t="s">
        <v>29</v>
      </c>
      <c r="F3" s="18" t="s">
        <v>30</v>
      </c>
      <c r="G3" s="18" t="s">
        <v>31</v>
      </c>
      <c r="H3" s="1"/>
      <c r="I3" s="1"/>
      <c r="J3" s="1"/>
    </row>
    <row r="4" spans="1:10" ht="15" customHeight="1" x14ac:dyDescent="0.25">
      <c r="A4" s="1"/>
      <c r="B4" s="19" t="s">
        <v>16</v>
      </c>
      <c r="C4" s="20">
        <f>ORÇAMENTO_FEVEREIRO!F10</f>
        <v>100</v>
      </c>
      <c r="D4" s="20">
        <f>'ORÇAMENTO_MARÇO)'!F10</f>
        <v>200</v>
      </c>
      <c r="E4" s="20">
        <f>ORÇAMENTO_ABRIL!F10</f>
        <v>160</v>
      </c>
      <c r="F4" s="20">
        <f>SUM(C4:E4)</f>
        <v>460</v>
      </c>
      <c r="G4" s="20">
        <f>AVERAGE(C4:F4)</f>
        <v>230</v>
      </c>
      <c r="H4" s="1"/>
      <c r="I4" s="1"/>
      <c r="J4" s="1"/>
    </row>
    <row r="5" spans="1:10" ht="15" customHeight="1" x14ac:dyDescent="0.25">
      <c r="A5" s="1"/>
      <c r="B5" s="19" t="s">
        <v>11</v>
      </c>
      <c r="C5" s="20">
        <v>840</v>
      </c>
      <c r="D5" s="20">
        <v>1190</v>
      </c>
      <c r="E5" s="20">
        <v>726</v>
      </c>
      <c r="F5" s="20">
        <f>SUM(C5:E5)</f>
        <v>2756</v>
      </c>
      <c r="G5" s="20">
        <f>AVERAGE(C5:F5)</f>
        <v>1378</v>
      </c>
      <c r="H5" s="1"/>
      <c r="I5" s="1"/>
      <c r="J5" s="1"/>
    </row>
    <row r="6" spans="1:10" ht="15" customHeight="1" x14ac:dyDescent="0.25">
      <c r="A6" s="1"/>
      <c r="B6" s="19" t="s">
        <v>4</v>
      </c>
      <c r="C6" s="20">
        <v>546.35</v>
      </c>
      <c r="D6" s="20">
        <v>579.35</v>
      </c>
      <c r="E6" s="20">
        <v>476.35</v>
      </c>
      <c r="F6" s="20">
        <f>SUM(C6:E6)</f>
        <v>1602.0500000000002</v>
      </c>
      <c r="G6" s="20">
        <f>AVERAGE(C6:F6)</f>
        <v>801.02500000000009</v>
      </c>
      <c r="H6" s="1"/>
      <c r="I6" s="1"/>
      <c r="J6" s="1"/>
    </row>
    <row r="7" spans="1:10" ht="15" customHeight="1" x14ac:dyDescent="0.25">
      <c r="A7" s="1"/>
      <c r="B7" s="21" t="s">
        <v>30</v>
      </c>
      <c r="C7" s="20">
        <f>SUM(C4:C6)</f>
        <v>1486.35</v>
      </c>
      <c r="D7" s="20">
        <f>SUM(D4:D6)</f>
        <v>1969.35</v>
      </c>
      <c r="E7" s="20">
        <f>SUM(E4:E6)</f>
        <v>1362.35</v>
      </c>
      <c r="F7" s="20">
        <f>SUM(F4:F6)</f>
        <v>4818.05</v>
      </c>
      <c r="G7" s="20">
        <f>SUM(G4:G6)</f>
        <v>2409.0250000000001</v>
      </c>
      <c r="H7" s="1"/>
      <c r="I7" s="1"/>
      <c r="J7" s="1"/>
    </row>
    <row r="8" spans="1:10" x14ac:dyDescent="0.25">
      <c r="A8" s="1"/>
      <c r="B8" s="19"/>
      <c r="C8" s="19"/>
      <c r="D8" s="19"/>
      <c r="E8" s="19"/>
      <c r="F8" s="19"/>
      <c r="G8" s="20">
        <f>MAX(G4:G6)</f>
        <v>1378</v>
      </c>
      <c r="H8" s="1"/>
      <c r="I8" s="1"/>
      <c r="J8" s="1"/>
    </row>
    <row r="9" spans="1:10" x14ac:dyDescent="0.25">
      <c r="A9" s="1"/>
      <c r="B9" s="19"/>
      <c r="C9" s="19"/>
      <c r="D9" s="19"/>
      <c r="E9" s="19"/>
      <c r="F9" s="19"/>
      <c r="G9" s="20">
        <f>MIN(G4:G6)</f>
        <v>230</v>
      </c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ORÇAMENTO_FEVEREIRO</vt:lpstr>
      <vt:lpstr>ORÇAMENTO_MARÇO)</vt:lpstr>
      <vt:lpstr>ORÇAMENTO_ABRIL</vt:lpstr>
      <vt:lpstr>TOTAL GERAL_TRIMESTRAL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2026-04-24T23:06:03Z</dcterms:created>
  <dcterms:modified xsi:type="dcterms:W3CDTF">2026-04-25T00:25:00Z</dcterms:modified>
</cp:coreProperties>
</file>